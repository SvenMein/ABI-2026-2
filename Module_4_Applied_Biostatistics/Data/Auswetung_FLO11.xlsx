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ven\Desktop\Bioinformatik\ABI-2026-2\Module_4_Applied_Biostatistics\Data\"/>
    </mc:Choice>
  </mc:AlternateContent>
  <xr:revisionPtr revIDLastSave="0" documentId="13_ncr:1_{119F1A46-2850-4F05-AF53-20E80F999476}" xr6:coauthVersionLast="47" xr6:coauthVersionMax="47" xr10:uidLastSave="{00000000-0000-0000-0000-000000000000}"/>
  <bookViews>
    <workbookView xWindow="-28920" yWindow="-120" windowWidth="29040" windowHeight="15720" xr2:uid="{342A287F-4A20-40AF-9907-9A0579B059F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B26" i="1"/>
  <c r="B25" i="1"/>
  <c r="H4" i="1" s="1"/>
  <c r="G3" i="1"/>
  <c r="G4" i="1"/>
  <c r="G5" i="1"/>
  <c r="G6" i="1"/>
  <c r="G7" i="1"/>
  <c r="G8" i="1"/>
  <c r="G18" i="1"/>
  <c r="G17" i="1"/>
  <c r="G10" i="1"/>
  <c r="F4" i="1"/>
  <c r="F5" i="1"/>
  <c r="F6" i="1"/>
  <c r="F7" i="1"/>
  <c r="F8" i="1"/>
  <c r="F3" i="1"/>
  <c r="F10" i="1"/>
  <c r="F11" i="1"/>
  <c r="F12" i="1"/>
  <c r="F13" i="1"/>
  <c r="F14" i="1"/>
  <c r="G11" i="1" l="1"/>
  <c r="G12" i="1"/>
  <c r="G13" i="1"/>
  <c r="G14" i="1"/>
  <c r="G15" i="1"/>
  <c r="G19" i="1"/>
  <c r="G20" i="1"/>
  <c r="G21" i="1"/>
  <c r="G22" i="1"/>
  <c r="F17" i="1"/>
  <c r="F18" i="1"/>
  <c r="F19" i="1"/>
  <c r="F20" i="1"/>
  <c r="F21" i="1"/>
  <c r="F22" i="1"/>
  <c r="F15" i="1"/>
  <c r="H7" i="1" l="1"/>
  <c r="H5" i="1"/>
  <c r="H6" i="1"/>
  <c r="H8" i="1"/>
  <c r="H11" i="1"/>
  <c r="H18" i="1"/>
  <c r="H17" i="1"/>
  <c r="H15" i="1"/>
  <c r="H19" i="1"/>
  <c r="H22" i="1"/>
  <c r="H13" i="1"/>
  <c r="H20" i="1"/>
  <c r="H10" i="1"/>
  <c r="H12" i="1"/>
  <c r="H14" i="1"/>
  <c r="H21" i="1"/>
</calcChain>
</file>

<file path=xl/sharedStrings.xml><?xml version="1.0" encoding="utf-8"?>
<sst xmlns="http://schemas.openxmlformats.org/spreadsheetml/2006/main" count="44" uniqueCount="19">
  <si>
    <t>WT</t>
  </si>
  <si>
    <t>HA</t>
  </si>
  <si>
    <t>FLAG</t>
  </si>
  <si>
    <t>scy1d</t>
  </si>
  <si>
    <t>cex1d</t>
  </si>
  <si>
    <t>cex1d scy1d</t>
  </si>
  <si>
    <t>HA, FLAG</t>
  </si>
  <si>
    <t>FLAG-Signal</t>
  </si>
  <si>
    <t>HA-Signal</t>
  </si>
  <si>
    <t>norm. HA</t>
  </si>
  <si>
    <t>norm.FLAG</t>
  </si>
  <si>
    <t>Normierungsfaktoren basierend auf FLO11-HA-FLAG Stamm</t>
  </si>
  <si>
    <t>SYN8</t>
  </si>
  <si>
    <t>FLAG/SYN8</t>
  </si>
  <si>
    <t>HA/SYN8</t>
  </si>
  <si>
    <t>Daten für Graphpad</t>
  </si>
  <si>
    <t>norm. HA/SYN8</t>
  </si>
  <si>
    <t>norm. FLAG/SYN8</t>
  </si>
  <si>
    <t>Stamm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</si>
</sst>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"/>
    <numFmt numFmtId="165" formatCode="#,##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49BC7-ED9E-4DC8-B50D-00178A74DAD1}">
  <dimension ref="A1:Q26"/>
  <sheetViews>
    <sheetView tabSelected="1" workbookViewId="0">
      <selection activeCell="H3" sqref="H3"/>
    </sheetView>
  </sheetViews>
  <sheetFormatPr baseColWidth="10" defaultRowHeight="14.4" x14ac:dyDescent="0.3"/>
  <cols>
    <col min="3" max="3" width="11.6640625" bestFit="1" customWidth="1"/>
  </cols>
  <sheetData>
    <row r="1" spans="2:17" x14ac:dyDescent="0.3">
      <c r="D1" s="1"/>
    </row>
    <row r="2" spans="2:17" x14ac:dyDescent="0.3">
      <c r="B2" t="s">
        <v>18</v>
      </c>
      <c r="C2" t="s">
        <v>1</v>
      </c>
      <c r="D2" t="s">
        <v>2</v>
      </c>
      <c r="E2" t="s">
        <v>12</v>
      </c>
      <c r="F2" t="s">
        <v>14</v>
      </c>
      <c r="G2" t="s">
        <v>13</v>
      </c>
      <c r="H2" t="s">
        <v>9</v>
      </c>
      <c r="I2" t="s">
        <v>10</v>
      </c>
    </row>
    <row r="3" spans="2:17" x14ac:dyDescent="0.3">
      <c r="B3" t="s">
        <v>0</v>
      </c>
      <c r="C3">
        <v>0</v>
      </c>
      <c r="D3">
        <v>0</v>
      </c>
      <c r="E3" s="1">
        <v>14040752</v>
      </c>
      <c r="F3">
        <f>C3/E3</f>
        <v>0</v>
      </c>
      <c r="G3">
        <f t="shared" ref="G3:G9" si="0">D3/E3</f>
        <v>0</v>
      </c>
      <c r="H3">
        <f>F3/B$25</f>
        <v>0</v>
      </c>
      <c r="L3" t="s">
        <v>15</v>
      </c>
    </row>
    <row r="4" spans="2:17" x14ac:dyDescent="0.3">
      <c r="B4" t="s">
        <v>1</v>
      </c>
      <c r="C4" s="1">
        <v>26455640</v>
      </c>
      <c r="D4">
        <v>0</v>
      </c>
      <c r="E4" s="1">
        <v>9270761</v>
      </c>
      <c r="F4">
        <f t="shared" ref="F4:F8" si="1">C4/E4</f>
        <v>2.853664332410252</v>
      </c>
      <c r="G4">
        <f t="shared" si="0"/>
        <v>0</v>
      </c>
      <c r="H4">
        <f>F4/B$25</f>
        <v>0.8794487790972344</v>
      </c>
      <c r="M4" s="1"/>
      <c r="N4" s="1"/>
    </row>
    <row r="5" spans="2:17" x14ac:dyDescent="0.3">
      <c r="B5" t="s">
        <v>6</v>
      </c>
      <c r="C5" s="1">
        <v>27936054</v>
      </c>
      <c r="D5">
        <v>3162857.1716699996</v>
      </c>
      <c r="E5" s="1">
        <v>10100903</v>
      </c>
      <c r="F5">
        <f t="shared" si="1"/>
        <v>2.7656986707030056</v>
      </c>
      <c r="G5">
        <f t="shared" si="0"/>
        <v>0.31312618007221726</v>
      </c>
      <c r="H5">
        <f t="shared" ref="H4:H8" si="2">F5/B$25</f>
        <v>0.85233932094818232</v>
      </c>
      <c r="L5" t="s">
        <v>16</v>
      </c>
      <c r="M5" s="1"/>
      <c r="N5" s="1"/>
    </row>
    <row r="6" spans="2:17" x14ac:dyDescent="0.3">
      <c r="B6" t="s">
        <v>3</v>
      </c>
      <c r="C6" s="1">
        <v>21756861</v>
      </c>
      <c r="D6">
        <v>1193229.82128</v>
      </c>
      <c r="E6" s="1">
        <v>12536296</v>
      </c>
      <c r="F6">
        <f t="shared" si="1"/>
        <v>1.735509515729367</v>
      </c>
      <c r="G6">
        <f t="shared" si="0"/>
        <v>9.5182007610541422E-2</v>
      </c>
      <c r="H6">
        <f t="shared" si="2"/>
        <v>0.53485327877742828</v>
      </c>
      <c r="L6" t="s">
        <v>0</v>
      </c>
      <c r="M6" t="s">
        <v>1</v>
      </c>
      <c r="N6" t="s">
        <v>6</v>
      </c>
      <c r="O6" t="s">
        <v>3</v>
      </c>
      <c r="P6" t="s">
        <v>4</v>
      </c>
      <c r="Q6" t="s">
        <v>5</v>
      </c>
    </row>
    <row r="7" spans="2:17" x14ac:dyDescent="0.3">
      <c r="B7" t="s">
        <v>4</v>
      </c>
      <c r="C7" s="1">
        <v>31527933</v>
      </c>
      <c r="D7">
        <v>3420768.93536</v>
      </c>
      <c r="E7" s="1">
        <v>11796974</v>
      </c>
      <c r="F7">
        <f t="shared" si="1"/>
        <v>2.6725440778287721</v>
      </c>
      <c r="G7">
        <f t="shared" si="0"/>
        <v>0.28997003259988535</v>
      </c>
      <c r="H7">
        <f t="shared" si="2"/>
        <v>0.82363072616354294</v>
      </c>
      <c r="L7">
        <v>0</v>
      </c>
      <c r="M7">
        <v>0.8794487790972344</v>
      </c>
      <c r="N7">
        <v>0.85233932094818232</v>
      </c>
      <c r="O7">
        <v>0.53485327877742828</v>
      </c>
      <c r="P7">
        <v>0.82363072616354294</v>
      </c>
      <c r="Q7">
        <v>0.43637277694569088</v>
      </c>
    </row>
    <row r="8" spans="2:17" x14ac:dyDescent="0.3">
      <c r="B8" t="s">
        <v>5</v>
      </c>
      <c r="C8" s="1">
        <v>23565761</v>
      </c>
      <c r="D8">
        <v>2194399.6872</v>
      </c>
      <c r="E8" s="1">
        <v>16642995</v>
      </c>
      <c r="F8">
        <f t="shared" si="1"/>
        <v>1.4159567433625979</v>
      </c>
      <c r="G8">
        <f t="shared" si="0"/>
        <v>0.13185124956175256</v>
      </c>
      <c r="H8">
        <f t="shared" si="2"/>
        <v>0.43637277694569088</v>
      </c>
      <c r="L8">
        <v>0</v>
      </c>
      <c r="M8">
        <v>1.1909377650417912</v>
      </c>
      <c r="N8">
        <v>1.0999971730363238</v>
      </c>
      <c r="O8">
        <v>0.79592400901179328</v>
      </c>
      <c r="P8">
        <v>1.2167452205225102</v>
      </c>
      <c r="Q8">
        <v>0.9152483892531228</v>
      </c>
    </row>
    <row r="9" spans="2:17" x14ac:dyDescent="0.3">
      <c r="L9">
        <v>0</v>
      </c>
      <c r="M9">
        <v>1.4262457112429103</v>
      </c>
      <c r="N9">
        <v>1.0476635060154935</v>
      </c>
      <c r="O9">
        <v>0.88425165841122233</v>
      </c>
      <c r="P9">
        <v>1.0632980744159417</v>
      </c>
      <c r="Q9">
        <v>0.91135128327873693</v>
      </c>
    </row>
    <row r="10" spans="2:17" x14ac:dyDescent="0.3">
      <c r="B10" t="s">
        <v>0</v>
      </c>
      <c r="C10" s="1">
        <v>0</v>
      </c>
      <c r="D10">
        <v>0</v>
      </c>
      <c r="E10" s="1">
        <v>5738581</v>
      </c>
      <c r="F10">
        <f>C10/E10</f>
        <v>0</v>
      </c>
      <c r="G10">
        <f>D10/E10</f>
        <v>0</v>
      </c>
      <c r="H10">
        <f>F10/B$25</f>
        <v>0</v>
      </c>
      <c r="L10" s="1"/>
      <c r="M10" s="1"/>
    </row>
    <row r="11" spans="2:17" x14ac:dyDescent="0.3">
      <c r="B11" t="s">
        <v>1</v>
      </c>
      <c r="C11" s="1">
        <v>26553832</v>
      </c>
      <c r="D11">
        <v>0</v>
      </c>
      <c r="E11" s="1">
        <v>6871409</v>
      </c>
      <c r="F11">
        <f t="shared" ref="F11:F22" si="3">C11/E11</f>
        <v>3.8643940420370844</v>
      </c>
      <c r="G11">
        <f t="shared" ref="G10:G15" si="4">D11/E11</f>
        <v>0</v>
      </c>
      <c r="H11">
        <f>F11/B$25</f>
        <v>1.1909377650417912</v>
      </c>
      <c r="I11" s="1"/>
      <c r="L11" s="1"/>
      <c r="M11" s="1"/>
    </row>
    <row r="12" spans="2:17" x14ac:dyDescent="0.3">
      <c r="B12" t="s">
        <v>6</v>
      </c>
      <c r="C12" s="1">
        <v>31069397</v>
      </c>
      <c r="D12" s="1">
        <v>4653045</v>
      </c>
      <c r="E12" s="1">
        <v>8704602</v>
      </c>
      <c r="F12">
        <f t="shared" si="3"/>
        <v>3.5693070171387502</v>
      </c>
      <c r="G12">
        <f t="shared" si="4"/>
        <v>0.5345500001033936</v>
      </c>
      <c r="H12">
        <f t="shared" ref="H12:H14" si="5">F12/B$25</f>
        <v>1.0999971730363238</v>
      </c>
      <c r="L12" t="s">
        <v>17</v>
      </c>
      <c r="M12" s="1"/>
      <c r="N12" s="1"/>
    </row>
    <row r="13" spans="2:17" x14ac:dyDescent="0.3">
      <c r="B13" t="s">
        <v>3</v>
      </c>
      <c r="C13" s="1">
        <v>23562539</v>
      </c>
      <c r="D13" s="1">
        <v>2462794</v>
      </c>
      <c r="E13" s="1">
        <v>9123430</v>
      </c>
      <c r="F13">
        <f t="shared" si="3"/>
        <v>2.5826404104596627</v>
      </c>
      <c r="G13">
        <f t="shared" si="4"/>
        <v>0.2699416776365906</v>
      </c>
      <c r="H13">
        <f t="shared" si="5"/>
        <v>0.79592400901179328</v>
      </c>
      <c r="L13" t="s">
        <v>0</v>
      </c>
      <c r="M13" t="s">
        <v>1</v>
      </c>
      <c r="N13" t="s">
        <v>6</v>
      </c>
      <c r="O13" t="s">
        <v>3</v>
      </c>
      <c r="P13" t="s">
        <v>4</v>
      </c>
      <c r="Q13" t="s">
        <v>5</v>
      </c>
    </row>
    <row r="14" spans="2:17" x14ac:dyDescent="0.3">
      <c r="B14" t="s">
        <v>4</v>
      </c>
      <c r="C14" s="1">
        <v>31177012</v>
      </c>
      <c r="D14" s="1">
        <v>7663945</v>
      </c>
      <c r="E14" s="1">
        <v>7896643</v>
      </c>
      <c r="F14">
        <f t="shared" si="3"/>
        <v>3.9481349226500426</v>
      </c>
      <c r="G14">
        <f t="shared" si="4"/>
        <v>0.97053203494193674</v>
      </c>
      <c r="H14">
        <f t="shared" si="5"/>
        <v>1.2167452205225102</v>
      </c>
      <c r="L14" s="1"/>
      <c r="M14" s="1"/>
    </row>
    <row r="15" spans="2:17" x14ac:dyDescent="0.3">
      <c r="B15" t="s">
        <v>5</v>
      </c>
      <c r="C15" s="1">
        <v>23290853</v>
      </c>
      <c r="D15" s="1">
        <v>1167468</v>
      </c>
      <c r="E15" s="1">
        <v>7842492</v>
      </c>
      <c r="F15">
        <f t="shared" si="3"/>
        <v>2.9698280852565739</v>
      </c>
      <c r="G15">
        <f t="shared" si="4"/>
        <v>0.14886441707559281</v>
      </c>
      <c r="H15">
        <f>F15/B$25</f>
        <v>0.9152483892531228</v>
      </c>
      <c r="M15" s="1"/>
    </row>
    <row r="16" spans="2:17" x14ac:dyDescent="0.3">
      <c r="M16" s="1"/>
    </row>
    <row r="17" spans="1:13" x14ac:dyDescent="0.3">
      <c r="B17" t="s">
        <v>0</v>
      </c>
      <c r="C17">
        <v>0</v>
      </c>
      <c r="D17" s="1">
        <v>0</v>
      </c>
      <c r="E17" s="1">
        <v>6871409</v>
      </c>
      <c r="F17">
        <f>C17/E17</f>
        <v>0</v>
      </c>
      <c r="G17">
        <f>D17/E17</f>
        <v>0</v>
      </c>
      <c r="H17">
        <f t="shared" ref="H17:H22" si="6">F17/B$25</f>
        <v>0</v>
      </c>
      <c r="M17" s="1"/>
    </row>
    <row r="18" spans="1:13" x14ac:dyDescent="0.3">
      <c r="B18" t="s">
        <v>1</v>
      </c>
      <c r="C18">
        <v>26557745.471999999</v>
      </c>
      <c r="D18" s="1">
        <v>0</v>
      </c>
      <c r="E18" s="1">
        <v>5738581</v>
      </c>
      <c r="F18">
        <f t="shared" si="3"/>
        <v>4.6279290075368804</v>
      </c>
      <c r="G18">
        <f>D18/E18</f>
        <v>0</v>
      </c>
      <c r="H18">
        <f>F18/B$25</f>
        <v>1.4262457112429103</v>
      </c>
      <c r="M18" s="1"/>
    </row>
    <row r="19" spans="1:13" x14ac:dyDescent="0.3">
      <c r="B19" t="s">
        <v>6</v>
      </c>
      <c r="C19">
        <v>29591233.676499996</v>
      </c>
      <c r="D19" s="1">
        <v>3606903</v>
      </c>
      <c r="E19" s="1">
        <v>8704602</v>
      </c>
      <c r="F19">
        <f t="shared" si="3"/>
        <v>3.3994930126041369</v>
      </c>
      <c r="G19">
        <f t="shared" ref="G18:G22" si="7">D19/E19</f>
        <v>0.41436736567622506</v>
      </c>
      <c r="H19">
        <f t="shared" si="6"/>
        <v>1.0476635060154935</v>
      </c>
      <c r="M19" s="1"/>
    </row>
    <row r="20" spans="1:13" x14ac:dyDescent="0.3">
      <c r="B20" t="s">
        <v>3</v>
      </c>
      <c r="C20">
        <v>22657434.030000001</v>
      </c>
      <c r="D20" s="1">
        <v>1360752</v>
      </c>
      <c r="E20" s="1">
        <v>7896643</v>
      </c>
      <c r="F20">
        <f t="shared" si="3"/>
        <v>2.8692488732237234</v>
      </c>
      <c r="G20">
        <f t="shared" si="7"/>
        <v>0.17232031383462568</v>
      </c>
      <c r="H20">
        <f t="shared" si="6"/>
        <v>0.88425165841122233</v>
      </c>
    </row>
    <row r="21" spans="1:13" x14ac:dyDescent="0.3">
      <c r="B21" t="s">
        <v>4</v>
      </c>
      <c r="C21">
        <v>31477882.390000001</v>
      </c>
      <c r="D21" s="1">
        <v>3901024</v>
      </c>
      <c r="E21" s="1">
        <v>9123430</v>
      </c>
      <c r="F21">
        <f t="shared" si="3"/>
        <v>3.4502245745295355</v>
      </c>
      <c r="G21">
        <f t="shared" si="7"/>
        <v>0.42758304716537532</v>
      </c>
      <c r="H21">
        <f t="shared" si="6"/>
        <v>1.0632980744159417</v>
      </c>
    </row>
    <row r="22" spans="1:13" x14ac:dyDescent="0.3">
      <c r="B22" t="s">
        <v>5</v>
      </c>
      <c r="C22">
        <v>23191681.099300001</v>
      </c>
      <c r="D22" s="1">
        <v>2502480</v>
      </c>
      <c r="E22" s="1">
        <v>7842492</v>
      </c>
      <c r="F22">
        <f t="shared" si="3"/>
        <v>2.9571826275755209</v>
      </c>
      <c r="G22">
        <f t="shared" si="7"/>
        <v>0.31909245173600431</v>
      </c>
      <c r="H22">
        <f t="shared" si="6"/>
        <v>0.91135128327873693</v>
      </c>
    </row>
    <row r="24" spans="1:13" x14ac:dyDescent="0.3">
      <c r="A24" t="s">
        <v>11</v>
      </c>
      <c r="H24" s="1"/>
    </row>
    <row r="25" spans="1:13" x14ac:dyDescent="0.3">
      <c r="A25" t="s">
        <v>8</v>
      </c>
      <c r="B25" s="3">
        <f>AVERAGE(F12,F19,F5)</f>
        <v>3.2448329001486313</v>
      </c>
    </row>
    <row r="26" spans="1:13" x14ac:dyDescent="0.3">
      <c r="A26" t="s">
        <v>7</v>
      </c>
      <c r="B26" s="2">
        <f>AVERAGE(G12,G19,G5)</f>
        <v>0.42068118195061199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Universitaet Bielefeld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Meinerz, Sven</dc:creator>
  <cp:lastModifiedBy>Sven Meinerz</cp:lastModifiedBy>
  <dcterms:created xsi:type="dcterms:W3CDTF">2023-10-24T09:01:38Z</dcterms:created>
  <dcterms:modified xsi:type="dcterms:W3CDTF">2026-07-27T06:22:58Z</dcterms:modified>
</cp:coreProperties>
</file>