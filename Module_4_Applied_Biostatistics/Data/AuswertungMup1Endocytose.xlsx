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\Desktop\Promotion_Auswertung\Endozytose\Mup1p-Endotytose\"/>
    </mc:Choice>
  </mc:AlternateContent>
  <xr:revisionPtr revIDLastSave="0" documentId="8_{E85C5259-2360-4D5E-8CE7-164F33F0F71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AB21" i="1" s="1"/>
  <c r="AB20" i="1"/>
  <c r="AB19" i="1"/>
  <c r="AA20" i="1"/>
  <c r="AA19" i="1"/>
  <c r="Z20" i="1"/>
  <c r="Z19" i="1"/>
  <c r="Y20" i="1"/>
  <c r="Y21" i="1"/>
  <c r="Y19" i="1"/>
  <c r="X20" i="1"/>
  <c r="X21" i="1"/>
  <c r="X19" i="1"/>
  <c r="W20" i="1"/>
  <c r="W21" i="1"/>
  <c r="W19" i="1"/>
  <c r="V20" i="1"/>
  <c r="V21" i="1"/>
  <c r="V19" i="1"/>
  <c r="U20" i="1"/>
  <c r="U21" i="1"/>
  <c r="U19" i="1"/>
  <c r="T20" i="1"/>
  <c r="T21" i="1"/>
  <c r="T19" i="1"/>
  <c r="S20" i="1"/>
  <c r="S21" i="1"/>
  <c r="S19" i="1"/>
  <c r="R20" i="1"/>
  <c r="R21" i="1"/>
  <c r="R19" i="1"/>
  <c r="Q20" i="1"/>
  <c r="Q21" i="1"/>
  <c r="Q19" i="1"/>
  <c r="G16" i="1"/>
  <c r="G3" i="1"/>
  <c r="G4" i="1"/>
  <c r="G5" i="1"/>
  <c r="G6" i="1"/>
  <c r="G7" i="1"/>
  <c r="G8" i="1"/>
  <c r="G9" i="1"/>
  <c r="G10" i="1"/>
  <c r="G11" i="1"/>
  <c r="G12" i="1"/>
  <c r="G13" i="1"/>
  <c r="Z21" i="1" s="1"/>
  <c r="H1" i="1"/>
  <c r="G2" i="1" s="1"/>
  <c r="G17" i="1"/>
  <c r="G18" i="1"/>
  <c r="G19" i="1"/>
  <c r="G20" i="1"/>
  <c r="G21" i="1"/>
  <c r="G22" i="1"/>
  <c r="G23" i="1"/>
  <c r="G24" i="1"/>
  <c r="G25" i="1"/>
  <c r="G26" i="1"/>
  <c r="G27" i="1"/>
  <c r="AA21" i="1" s="1"/>
  <c r="G30" i="1"/>
  <c r="G31" i="1"/>
  <c r="G32" i="1"/>
  <c r="G33" i="1"/>
  <c r="G34" i="1"/>
  <c r="G35" i="1"/>
  <c r="G36" i="1"/>
  <c r="G37" i="1"/>
  <c r="G38" i="1"/>
  <c r="G39" i="1"/>
  <c r="G40" i="1"/>
  <c r="F16" i="1" l="1"/>
  <c r="F41" i="1" l="1"/>
  <c r="F40" i="1"/>
  <c r="F39" i="1"/>
  <c r="F38" i="1"/>
  <c r="F37" i="1"/>
  <c r="F36" i="1"/>
  <c r="F35" i="1"/>
  <c r="F34" i="1"/>
  <c r="F33" i="1"/>
  <c r="F32" i="1"/>
  <c r="F31" i="1"/>
  <c r="F30" i="1"/>
  <c r="F27" i="1"/>
  <c r="F26" i="1"/>
  <c r="F25" i="1"/>
  <c r="F24" i="1"/>
  <c r="F23" i="1"/>
  <c r="F22" i="1"/>
  <c r="F21" i="1"/>
  <c r="F20" i="1"/>
  <c r="F19" i="1"/>
  <c r="F18" i="1"/>
  <c r="F17" i="1"/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<sst xmlns="http://schemas.openxmlformats.org/spreadsheetml/2006/main" count="49" uniqueCount="19">
  <si>
    <t>min</t>
  </si>
  <si>
    <t>Stamm</t>
  </si>
  <si>
    <t>WT</t>
  </si>
  <si>
    <t>scy1Δ</t>
  </si>
  <si>
    <t>cex1Δ</t>
  </si>
  <si>
    <t>cex1Δ scy1Δ</t>
  </si>
  <si>
    <t>26 kDa GFP</t>
  </si>
  <si>
    <t>PGK1</t>
  </si>
  <si>
    <t>GFP/PGK1</t>
  </si>
  <si>
    <t>Norm T=0</t>
  </si>
  <si>
    <t>n=1</t>
  </si>
  <si>
    <t>n=2</t>
  </si>
  <si>
    <t>n=3</t>
  </si>
  <si>
    <t>scy1d</t>
  </si>
  <si>
    <t>cex1d</t>
  </si>
  <si>
    <t>cex1d scy1d</t>
  </si>
  <si>
    <t>n1</t>
  </si>
  <si>
    <t>n2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</si>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</sst>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3" fontId="0" fillId="0" borderId="0" xfId="0" applyNumberFormat="1"/>
    <xf numFmtId="164" fontId="0" fillId="0" borderId="0" xfId="0" applyNumberFormat="1"/>
    <xf numFmtId="3" fontId="0" fillId="4" borderId="0" xfId="0" applyNumberForma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'Tab1'!$G$2:$G$5</c:f>
              <c:strCache>
                <c:ptCount val="4"/>
                <c:pt idx="0">
                  <c:v>0,670614205</c:v>
                </c:pt>
                <c:pt idx="1">
                  <c:v>1,674645756</c:v>
                </c:pt>
                <c:pt idx="2">
                  <c:v>5,970607116</c:v>
                </c:pt>
                <c:pt idx="3">
                  <c:v>0,733004751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'Tab1'!$C$2:$C$4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'Tab1'!$G$2:$G$4</c:f>
              <c:numCache>
                <c:formatCode>General</c:formatCode>
                <c:ptCount val="3"/>
                <c:pt idx="0">
                  <c:v>0.67061420508224123</c:v>
                </c:pt>
                <c:pt idx="1">
                  <c:v>1.6746457564154995</c:v>
                </c:pt>
                <c:pt idx="2">
                  <c:v>5.9706071159356888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5-49DC-B5A0-0DAC5EBF554A}"/>
            </c:ext>
          </c:extLst>
        </c:ser>
        <c:ser>
          <c:idx val="1"/>
          <c:order val="1"/>
          <c:tx>
            <c:strRef>
              <c:f>'Tab1'!$B$5</c:f>
              <c:strCache>
                <c:ptCount val="1"/>
                <c:pt idx="0">
                  <c:v>scy1Δ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'Tab1'!$G$5:$G$7</c:f>
              <c:numCache>
                <c:formatCode>General</c:formatCode>
                <c:ptCount val="3"/>
                <c:pt idx="0">
                  <c:v>0.73300475079690564</c:v>
                </c:pt>
                <c:pt idx="1">
                  <c:v>1.4651240707518201</c:v>
                </c:pt>
                <c:pt idx="2">
                  <c:v>6.274916390819306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A5-49DC-B5A0-0DAC5EBF554A}"/>
            </c:ext>
          </c:extLst>
        </c:ser>
        <c:ser>
          <c:idx val="2"/>
          <c:order val="2"/>
          <c:tx>
            <c:strRef>
              <c:f>'Tab1'!$B$8</c:f>
              <c:strCache>
                <c:ptCount val="1"/>
                <c:pt idx="0">
                  <c:v>cex1Δ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'Tab1'!$G$8:$G$10</c:f>
              <c:numCache>
                <c:formatCode>General</c:formatCode>
                <c:ptCount val="3"/>
                <c:pt idx="0">
                  <c:v>0.36173991168134606</c:v>
                </c:pt>
                <c:pt idx="1">
                  <c:v>1.2807326971388349</c:v>
                </c:pt>
                <c:pt idx="2">
                  <c:v>5.9116065359793781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A5-49DC-B5A0-0DAC5EBF554A}"/>
            </c:ext>
          </c:extLst>
        </c:ser>
        <c:ser>
          <c:idx val="3"/>
          <c:order val="3"/>
          <c:tx>
            <c:strRef>
              <c:f>'Tab1'!$B$11</c:f>
              <c:strCache>
                <c:ptCount val="1"/>
                <c:pt idx="0">
                  <c:v>cex1Δ scy1Δ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'Tab1'!$G$11:$G$13</c:f>
              <c:numCache>
                <c:formatCode>General</c:formatCode>
                <c:ptCount val="3"/>
                <c:pt idx="0">
                  <c:v>0.4017029269981775</c:v>
                </c:pt>
                <c:pt idx="1">
                  <c:v>0.93792294418312372</c:v>
                </c:pt>
                <c:pt idx="2">
                  <c:v>6.1872437754443368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A5-49DC-B5A0-0DAC5EBF5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16416"/>
        <c:axId val="45126400"/>
      </c:barChart>
      <c:catAx>
        <c:axId val="451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126400"/>
        <c:crosses val="autoZero"/>
        <c:auto val="1"/>
        <c:lblAlgn val="ctr"/>
        <c:lblOffset val="100"/>
        <c:noMultiLvlLbl val="0"/>
      </c:catAx>
      <c:valAx>
        <c:axId val="451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11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'Tab1'!$B$16</c:f>
              <c:strCache>
                <c:ptCount val="1"/>
                <c:pt idx="0">
                  <c:v>WT</c:v>
                </c:pt>
              </c:strCache>
            </c:strRef>
          </c:tx>
          <c:invertIfNegative val="0"/>
          <c:cat>
            <c:numRef>
              <c:f>'Tab1'!$C$25:$C$27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'Tab1'!$G$16:$G$18</c:f>
              <c:numCache>
                <c:formatCode>General</c:formatCode>
                <c:ptCount val="3"/>
                <c:pt idx="0">
                  <c:v>0.57512072923450042</c:v>
                </c:pt>
                <c:pt idx="1">
                  <c:v>1.4808951062802003</c:v>
                </c:pt>
                <c:pt idx="2">
                  <c:v>4.8493299865911821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E-4275-BBDE-4AEA0B907D61}"/>
            </c:ext>
          </c:extLst>
        </c:ser>
        <c:ser>
          <c:idx val="1"/>
          <c:order val="1"/>
          <c:tx>
            <c:strRef>
              <c:f>'Tab1'!$B$19</c:f>
              <c:strCache>
                <c:ptCount val="1"/>
                <c:pt idx="0">
                  <c:v>scy1Δ</c:v>
                </c:pt>
              </c:strCache>
            </c:strRef>
          </c:tx>
          <c:invertIfNegative val="0"/>
          <c:cat>
            <c:numRef>
              <c:f>'Tab1'!$C$25:$C$27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'Tab1'!$G$19:$G$21</c:f>
              <c:numCache>
                <c:formatCode>General</c:formatCode>
                <c:ptCount val="3"/>
                <c:pt idx="0">
                  <c:v>0.4250201631002441</c:v>
                </c:pt>
                <c:pt idx="1">
                  <c:v>1.4360363049800722</c:v>
                </c:pt>
                <c:pt idx="2">
                  <c:v>5.28580891793262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E-4275-BBDE-4AEA0B907D61}"/>
            </c:ext>
          </c:extLst>
        </c:ser>
        <c:ser>
          <c:idx val="2"/>
          <c:order val="2"/>
          <c:tx>
            <c:strRef>
              <c:f>'Tab1'!$B$22</c:f>
              <c:strCache>
                <c:ptCount val="1"/>
                <c:pt idx="0">
                  <c:v>cex1Δ</c:v>
                </c:pt>
              </c:strCache>
            </c:strRef>
          </c:tx>
          <c:invertIfNegative val="0"/>
          <c:cat>
            <c:numRef>
              <c:f>'Tab1'!$C$25:$C$27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'Tab1'!$G$22:$G$24</c:f>
              <c:numCache>
                <c:formatCode>General</c:formatCode>
                <c:ptCount val="3"/>
                <c:pt idx="0">
                  <c:v>0.53233416740645534</c:v>
                </c:pt>
                <c:pt idx="1">
                  <c:v>1.6335648646222376</c:v>
                </c:pt>
                <c:pt idx="2">
                  <c:v>5.8403803843671138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E-4275-BBDE-4AEA0B907D61}"/>
            </c:ext>
          </c:extLst>
        </c:ser>
        <c:ser>
          <c:idx val="3"/>
          <c:order val="3"/>
          <c:tx>
            <c:strRef>
              <c:f>'Tab1'!$B$25</c:f>
              <c:strCache>
                <c:ptCount val="1"/>
                <c:pt idx="0">
                  <c:v>cex1Δ scy1Δ</c:v>
                </c:pt>
              </c:strCache>
            </c:strRef>
          </c:tx>
          <c:invertIfNegative val="0"/>
          <c:cat>
            <c:numRef>
              <c:f>'Tab1'!$C$25:$C$27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'Tab1'!$G$25:$G$27</c:f>
              <c:numCache>
                <c:formatCode>General</c:formatCode>
                <c:ptCount val="3"/>
                <c:pt idx="0">
                  <c:v>0.48697894772840949</c:v>
                </c:pt>
                <c:pt idx="1">
                  <c:v>1.0252984566322352</c:v>
                </c:pt>
                <c:pt idx="2">
                  <c:v>5.5254491455262853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2E-4275-BBDE-4AEA0B907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58688"/>
        <c:axId val="57460224"/>
      </c:barChart>
      <c:catAx>
        <c:axId val="5745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460224"/>
        <c:crosses val="autoZero"/>
        <c:auto val="1"/>
        <c:lblAlgn val="ctr"/>
        <c:lblOffset val="100"/>
        <c:noMultiLvlLbl val="0"/>
      </c:catAx>
      <c:valAx>
        <c:axId val="5746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458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'Tab1'!$B$30</c:f>
              <c:strCache>
                <c:ptCount val="1"/>
                <c:pt idx="0">
                  <c:v>WT</c:v>
                </c:pt>
              </c:strCache>
            </c:strRef>
          </c:tx>
          <c:invertIfNegative val="0"/>
          <c:cat>
            <c:numRef>
              <c:f>'Tab1'!$C$30:$C$32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'Tab1'!$G$30:$G$32</c:f>
              <c:numCache>
                <c:formatCode>General</c:formatCode>
                <c:ptCount val="3"/>
                <c:pt idx="0">
                  <c:v>1.7542650656832584</c:v>
                </c:pt>
                <c:pt idx="1">
                  <c:v>3.1295454253986668</c:v>
                </c:pt>
                <c:pt idx="2">
                  <c:v>5.6974589150114641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9-455F-841F-742AED00440D}"/>
            </c:ext>
          </c:extLst>
        </c:ser>
        <c:ser>
          <c:idx val="1"/>
          <c:order val="1"/>
          <c:tx>
            <c:strRef>
              <c:f>'Tab1'!$B$33</c:f>
              <c:strCache>
                <c:ptCount val="1"/>
                <c:pt idx="0">
                  <c:v>scy1Δ</c:v>
                </c:pt>
              </c:strCache>
            </c:strRef>
          </c:tx>
          <c:invertIfNegative val="0"/>
          <c:cat>
            <c:numRef>
              <c:f>'Tab1'!$C$30:$C$32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'Tab1'!$G$33:$G$35</c:f>
              <c:numCache>
                <c:formatCode>General</c:formatCode>
                <c:ptCount val="3"/>
                <c:pt idx="0">
                  <c:v>1.617469473921203</c:v>
                </c:pt>
                <c:pt idx="1">
                  <c:v>3.092777869608152</c:v>
                </c:pt>
                <c:pt idx="2">
                  <c:v>6.117712072353469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9-455F-841F-742AED00440D}"/>
            </c:ext>
          </c:extLst>
        </c:ser>
        <c:ser>
          <c:idx val="2"/>
          <c:order val="2"/>
          <c:tx>
            <c:strRef>
              <c:f>'Tab1'!$B$36</c:f>
              <c:strCache>
                <c:ptCount val="1"/>
                <c:pt idx="0">
                  <c:v>cex1Δ</c:v>
                </c:pt>
              </c:strCache>
            </c:strRef>
          </c:tx>
          <c:invertIfNegative val="0"/>
          <c:cat>
            <c:numRef>
              <c:f>'Tab1'!$C$30:$C$32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'Tab1'!$G$36:$G$38</c:f>
              <c:numCache>
                <c:formatCode>General</c:formatCode>
                <c:ptCount val="3"/>
                <c:pt idx="0">
                  <c:v>1.818387999321722</c:v>
                </c:pt>
                <c:pt idx="1">
                  <c:v>2.86793133716266</c:v>
                </c:pt>
                <c:pt idx="2">
                  <c:v>6.6837535285425433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9-455F-841F-742AED00440D}"/>
            </c:ext>
          </c:extLst>
        </c:ser>
        <c:ser>
          <c:idx val="3"/>
          <c:order val="3"/>
          <c:tx>
            <c:strRef>
              <c:f>'Tab1'!$B$39</c:f>
              <c:strCache>
                <c:ptCount val="1"/>
                <c:pt idx="0">
                  <c:v>cex1Δ scy1Δ</c:v>
                </c:pt>
              </c:strCache>
            </c:strRef>
          </c:tx>
          <c:invertIfNegative val="0"/>
          <c:cat>
            <c:numRef>
              <c:f>'Tab1'!$C$30:$C$32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60</c:v>
                </c:pt>
              </c:numCache>
            </c:numRef>
          </c:cat>
          <c:val>
            <c:numRef>
              <c:f>'Tab1'!$G$39:$G$41</c:f>
              <c:numCache>
                <c:formatCode>General</c:formatCode>
                <c:ptCount val="3"/>
                <c:pt idx="0">
                  <c:v>1.4889377252318046</c:v>
                </c:pt>
                <c:pt idx="1">
                  <c:v>2.3034934886723275</c:v>
                </c:pt>
                <c:pt idx="2">
                  <c:v>5.511529125348936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9-455F-841F-742AED004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91424"/>
        <c:axId val="56792960"/>
      </c:barChart>
      <c:catAx>
        <c:axId val="5679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92960"/>
        <c:crosses val="autoZero"/>
        <c:auto val="1"/>
        <c:lblAlgn val="ctr"/>
        <c:lblOffset val="100"/>
        <c:noMultiLvlLbl val="0"/>
      </c:catAx>
      <c:valAx>
        <c:axId val="56792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791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0</xdr:row>
      <xdr:rowOff>0</xdr:rowOff>
    </xdr:from>
    <xdr:to>
      <xdr:col>14</xdr:col>
      <xdr:colOff>9525</xdr:colOff>
      <xdr:row>14</xdr:row>
      <xdr:rowOff>76200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15</xdr:row>
      <xdr:rowOff>4762</xdr:rowOff>
    </xdr:from>
    <xdr:to>
      <xdr:col>14</xdr:col>
      <xdr:colOff>38100</xdr:colOff>
      <xdr:row>29</xdr:row>
      <xdr:rowOff>80962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419100</xdr:colOff>
      <xdr:row>30</xdr:row>
      <xdr:rowOff>33337</xdr:rowOff>
    </xdr:from>
    <xdr:to>
      <xdr:col>14</xdr:col>
      <xdr:colOff>19050</xdr:colOff>
      <xdr:row>44</xdr:row>
      <xdr:rowOff>109537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tabSelected="1" topLeftCell="B1" zoomScale="85" zoomScaleNormal="85" workbookViewId="0">
      <selection activeCell="P1" sqref="P1:T13"/>
    </sheetView>
  </sheetViews>
  <sheetFormatPr baseColWidth="10" defaultRowHeight="14.4" x14ac:dyDescent="0.3"/>
  <cols>
    <col min="7" max="7" width="13.5546875" customWidth="1"/>
    <col min="8" max="8" width="13" customWidth="1"/>
    <col min="9" max="9" width="13.88671875" customWidth="1"/>
    <col min="10" max="10" width="15" customWidth="1"/>
  </cols>
  <sheetData>
    <row r="1" spans="1:20" x14ac:dyDescent="0.3">
      <c r="A1" t="s">
        <v>10</v>
      </c>
      <c r="B1" t="s">
        <v>1</v>
      </c>
      <c r="C1" t="s">
        <v>0</v>
      </c>
      <c r="D1" t="s">
        <v>6</v>
      </c>
      <c r="E1" t="s">
        <v>7</v>
      </c>
      <c r="F1" t="s">
        <v>8</v>
      </c>
      <c r="G1" t="s">
        <v>9</v>
      </c>
      <c r="H1" s="3">
        <f>AVERAGE(D2,D16,D30)</f>
        <v>1871405.3333333333</v>
      </c>
    </row>
    <row r="2" spans="1:20" x14ac:dyDescent="0.3">
      <c r="B2" s="1" t="s">
        <v>2</v>
      </c>
      <c r="C2">
        <v>0</v>
      </c>
      <c r="D2" s="3">
        <v>1254991</v>
      </c>
      <c r="E2" s="3">
        <v>13046305</v>
      </c>
      <c r="F2">
        <f>E2/D2</f>
        <v>10.395536701060008</v>
      </c>
      <c r="G2">
        <f t="shared" ref="G2:G13" si="0">D2/$H$1</f>
        <v>0.67061420508224123</v>
      </c>
      <c r="Q2" s="3"/>
      <c r="R2" s="3"/>
      <c r="S2" s="3"/>
      <c r="T2" s="3"/>
    </row>
    <row r="3" spans="1:20" x14ac:dyDescent="0.3">
      <c r="B3" s="1"/>
      <c r="C3">
        <v>10</v>
      </c>
      <c r="D3" s="3">
        <v>3133941</v>
      </c>
      <c r="E3" s="3">
        <v>13752598</v>
      </c>
      <c r="F3">
        <f t="shared" ref="F3:F13" si="1">E3/D3</f>
        <v>4.3882759758400045</v>
      </c>
      <c r="G3">
        <f t="shared" si="0"/>
        <v>1.6746457564154995</v>
      </c>
    </row>
    <row r="4" spans="1:20" x14ac:dyDescent="0.3">
      <c r="B4" s="1"/>
      <c r="C4">
        <v>60</v>
      </c>
      <c r="D4" s="3">
        <v>11173426</v>
      </c>
      <c r="E4" s="3">
        <v>11680598</v>
      </c>
      <c r="F4">
        <f t="shared" si="1"/>
        <v>1.045390912330739</v>
      </c>
      <c r="G4">
        <f t="shared" si="0"/>
        <v>5.9706071159356888</v>
      </c>
    </row>
    <row r="5" spans="1:20" x14ac:dyDescent="0.3">
      <c r="B5" s="2" t="s">
        <v>3</v>
      </c>
      <c r="C5">
        <v>0</v>
      </c>
      <c r="D5" s="3">
        <v>1371749</v>
      </c>
      <c r="E5" s="3">
        <v>10325062</v>
      </c>
      <c r="F5">
        <f t="shared" si="1"/>
        <v>7.5269324052723929</v>
      </c>
      <c r="G5">
        <f t="shared" si="0"/>
        <v>0.73300475079690564</v>
      </c>
    </row>
    <row r="6" spans="1:20" x14ac:dyDescent="0.3">
      <c r="B6" s="2"/>
      <c r="C6">
        <v>10</v>
      </c>
      <c r="D6" s="3">
        <v>2741841</v>
      </c>
      <c r="E6" s="3">
        <v>10475891</v>
      </c>
      <c r="F6">
        <f t="shared" si="1"/>
        <v>3.8207507291633616</v>
      </c>
      <c r="G6">
        <f t="shared" si="0"/>
        <v>1.4651240707518201</v>
      </c>
    </row>
    <row r="7" spans="1:20" x14ac:dyDescent="0.3">
      <c r="B7" s="2"/>
      <c r="C7">
        <v>60</v>
      </c>
      <c r="D7" s="3">
        <v>11742912</v>
      </c>
      <c r="E7" s="3">
        <v>9791891</v>
      </c>
      <c r="F7">
        <f t="shared" si="1"/>
        <v>0.83385543551718688</v>
      </c>
      <c r="G7">
        <f t="shared" si="0"/>
        <v>6.274916390819306</v>
      </c>
    </row>
    <row r="8" spans="1:20" x14ac:dyDescent="0.3">
      <c r="B8" s="1" t="s">
        <v>4</v>
      </c>
      <c r="C8">
        <v>0</v>
      </c>
      <c r="D8" s="3">
        <v>676962</v>
      </c>
      <c r="E8" s="3">
        <v>12426891</v>
      </c>
      <c r="F8">
        <f t="shared" si="1"/>
        <v>18.356851640121601</v>
      </c>
      <c r="G8">
        <f t="shared" si="0"/>
        <v>0.36173991168134606</v>
      </c>
    </row>
    <row r="9" spans="1:20" x14ac:dyDescent="0.3">
      <c r="B9" s="1"/>
      <c r="C9">
        <v>10</v>
      </c>
      <c r="D9" s="3">
        <v>2396770</v>
      </c>
      <c r="E9" s="3">
        <v>8654770</v>
      </c>
      <c r="F9">
        <f t="shared" si="1"/>
        <v>3.6110139896610853</v>
      </c>
      <c r="G9">
        <f t="shared" si="0"/>
        <v>1.2807326971388349</v>
      </c>
    </row>
    <row r="10" spans="1:20" x14ac:dyDescent="0.3">
      <c r="B10" s="1"/>
      <c r="C10">
        <v>60</v>
      </c>
      <c r="D10" s="3">
        <v>11063012</v>
      </c>
      <c r="E10" s="3">
        <v>9427891</v>
      </c>
      <c r="F10">
        <f t="shared" si="1"/>
        <v>0.85219929256155558</v>
      </c>
      <c r="G10">
        <f t="shared" si="0"/>
        <v>5.9116065359793781</v>
      </c>
    </row>
    <row r="11" spans="1:20" x14ac:dyDescent="0.3">
      <c r="B11" s="2" t="s">
        <v>5</v>
      </c>
      <c r="C11">
        <v>0</v>
      </c>
      <c r="D11" s="3">
        <v>751749</v>
      </c>
      <c r="E11" s="3">
        <v>8909426</v>
      </c>
      <c r="F11">
        <f t="shared" si="1"/>
        <v>11.851596743061846</v>
      </c>
      <c r="G11">
        <f t="shared" si="0"/>
        <v>0.4017029269981775</v>
      </c>
    </row>
    <row r="12" spans="1:20" x14ac:dyDescent="0.3">
      <c r="B12" s="2"/>
      <c r="C12">
        <v>10</v>
      </c>
      <c r="D12" s="3">
        <v>1755234</v>
      </c>
      <c r="E12" s="3">
        <v>10577355</v>
      </c>
      <c r="F12">
        <f t="shared" si="1"/>
        <v>6.0261794153941866</v>
      </c>
      <c r="G12">
        <f t="shared" si="0"/>
        <v>0.93792294418312372</v>
      </c>
    </row>
    <row r="13" spans="1:20" x14ac:dyDescent="0.3">
      <c r="B13" s="2"/>
      <c r="C13">
        <v>60</v>
      </c>
      <c r="D13" s="3">
        <v>11578841</v>
      </c>
      <c r="E13" s="3">
        <v>13108012</v>
      </c>
      <c r="F13">
        <f t="shared" si="1"/>
        <v>1.1320659813879472</v>
      </c>
      <c r="G13">
        <f t="shared" si="0"/>
        <v>6.1872437754443368</v>
      </c>
    </row>
    <row r="15" spans="1:20" x14ac:dyDescent="0.3">
      <c r="A15" t="s">
        <v>11</v>
      </c>
      <c r="B15" t="s">
        <v>1</v>
      </c>
      <c r="C15" t="s">
        <v>0</v>
      </c>
      <c r="D15" t="s">
        <v>6</v>
      </c>
      <c r="E15" t="s">
        <v>7</v>
      </c>
      <c r="F15" t="s">
        <v>8</v>
      </c>
      <c r="G15" t="s">
        <v>9</v>
      </c>
    </row>
    <row r="16" spans="1:20" x14ac:dyDescent="0.3">
      <c r="B16" s="1" t="s">
        <v>2</v>
      </c>
      <c r="C16">
        <v>0</v>
      </c>
      <c r="D16" s="3">
        <v>1076284</v>
      </c>
      <c r="E16" s="3">
        <v>9734589</v>
      </c>
      <c r="F16">
        <f>E16/D16</f>
        <v>9.0446285552883818</v>
      </c>
      <c r="G16">
        <f>D16/H$1</f>
        <v>0.57512072923450042</v>
      </c>
      <c r="Q16" s="3"/>
    </row>
    <row r="17" spans="1:28" x14ac:dyDescent="0.3">
      <c r="B17" s="1"/>
      <c r="C17">
        <v>10</v>
      </c>
      <c r="D17" s="3">
        <v>2771355</v>
      </c>
      <c r="E17" s="3">
        <v>7112225</v>
      </c>
      <c r="F17">
        <f t="shared" ref="F17:F27" si="2">E17/D17</f>
        <v>2.5663348795083993</v>
      </c>
      <c r="G17">
        <f t="shared" ref="G16:G26" si="3">D17/H$1</f>
        <v>1.4808951062802003</v>
      </c>
      <c r="Q17" s="5"/>
      <c r="R17" s="6" t="s">
        <v>2</v>
      </c>
      <c r="S17" s="6"/>
      <c r="T17" s="2"/>
      <c r="U17" t="s">
        <v>13</v>
      </c>
      <c r="V17" s="2"/>
      <c r="W17" s="6"/>
      <c r="X17" t="s">
        <v>14</v>
      </c>
      <c r="Y17" s="6"/>
      <c r="Z17" s="2"/>
      <c r="AA17" t="s">
        <v>15</v>
      </c>
      <c r="AB17" s="2"/>
    </row>
    <row r="18" spans="1:28" x14ac:dyDescent="0.3">
      <c r="B18" s="1"/>
      <c r="C18">
        <v>60</v>
      </c>
      <c r="D18" s="3">
        <v>9075062</v>
      </c>
      <c r="E18" s="3">
        <v>5301640</v>
      </c>
      <c r="F18">
        <f t="shared" si="2"/>
        <v>0.58419876360073353</v>
      </c>
      <c r="G18">
        <f t="shared" si="3"/>
        <v>4.8493299865911821</v>
      </c>
      <c r="Q18" s="3" t="s">
        <v>16</v>
      </c>
      <c r="R18" t="s">
        <v>17</v>
      </c>
      <c r="S18" t="s">
        <v>18</v>
      </c>
      <c r="T18" s="3" t="s">
        <v>16</v>
      </c>
      <c r="U18" t="s">
        <v>17</v>
      </c>
      <c r="V18" t="s">
        <v>18</v>
      </c>
      <c r="W18" s="3" t="s">
        <v>16</v>
      </c>
      <c r="X18" t="s">
        <v>17</v>
      </c>
      <c r="Y18" t="s">
        <v>18</v>
      </c>
      <c r="Z18" s="3" t="s">
        <v>16</v>
      </c>
      <c r="AA18" t="s">
        <v>17</v>
      </c>
      <c r="AB18" t="s">
        <v>18</v>
      </c>
    </row>
    <row r="19" spans="1:28" x14ac:dyDescent="0.3">
      <c r="B19" s="2" t="s">
        <v>3</v>
      </c>
      <c r="C19">
        <v>0</v>
      </c>
      <c r="D19" s="3">
        <v>795385</v>
      </c>
      <c r="E19" s="3">
        <v>4021962</v>
      </c>
      <c r="F19">
        <f t="shared" si="2"/>
        <v>5.0566228933158159</v>
      </c>
      <c r="G19">
        <f t="shared" si="3"/>
        <v>0.4250201631002441</v>
      </c>
      <c r="L19" s="3"/>
      <c r="P19">
        <v>0</v>
      </c>
      <c r="Q19" s="4">
        <f>G2</f>
        <v>0.67061420508224123</v>
      </c>
      <c r="R19">
        <f>G16</f>
        <v>0.57512072923450042</v>
      </c>
      <c r="S19">
        <f>G30</f>
        <v>1.7542650656832584</v>
      </c>
      <c r="T19">
        <f>G5</f>
        <v>0.73300475079690564</v>
      </c>
      <c r="U19">
        <f>G19</f>
        <v>0.4250201631002441</v>
      </c>
      <c r="V19">
        <f>G33</f>
        <v>1.617469473921203</v>
      </c>
      <c r="W19">
        <f>G8</f>
        <v>0.36173991168134606</v>
      </c>
      <c r="X19">
        <f>G22</f>
        <v>0.53233416740645534</v>
      </c>
      <c r="Y19">
        <f>G36</f>
        <v>1.818387999321722</v>
      </c>
      <c r="Z19">
        <f>G11</f>
        <v>0.4017029269981775</v>
      </c>
      <c r="AA19">
        <f>G25</f>
        <v>0.48697894772840949</v>
      </c>
      <c r="AB19">
        <f>G39</f>
        <v>1.4889377252318046</v>
      </c>
    </row>
    <row r="20" spans="1:28" x14ac:dyDescent="0.3">
      <c r="B20" s="2"/>
      <c r="C20">
        <v>10</v>
      </c>
      <c r="D20" s="3">
        <v>2687406</v>
      </c>
      <c r="E20" s="3">
        <v>3728075</v>
      </c>
      <c r="F20">
        <f t="shared" si="2"/>
        <v>1.387239218785699</v>
      </c>
      <c r="G20">
        <f t="shared" si="3"/>
        <v>1.4360363049800722</v>
      </c>
      <c r="L20" s="3"/>
      <c r="P20">
        <v>10</v>
      </c>
      <c r="Q20" s="4">
        <f t="shared" ref="Q20:Q21" si="4">G3</f>
        <v>1.6746457564154995</v>
      </c>
      <c r="R20">
        <f t="shared" ref="R20:R21" si="5">G17</f>
        <v>1.4808951062802003</v>
      </c>
      <c r="S20">
        <f t="shared" ref="S20:S21" si="6">G31</f>
        <v>3.1295454253986668</v>
      </c>
      <c r="T20">
        <f t="shared" ref="T20:T21" si="7">G6</f>
        <v>1.4651240707518201</v>
      </c>
      <c r="U20">
        <f t="shared" ref="U20:U21" si="8">G20</f>
        <v>1.4360363049800722</v>
      </c>
      <c r="V20">
        <f t="shared" ref="V20:V21" si="9">G34</f>
        <v>3.092777869608152</v>
      </c>
      <c r="W20">
        <f t="shared" ref="W20:W21" si="10">G9</f>
        <v>1.2807326971388349</v>
      </c>
      <c r="X20">
        <f t="shared" ref="X20:X21" si="11">G23</f>
        <v>1.6335648646222376</v>
      </c>
      <c r="Y20">
        <f t="shared" ref="Y20:Y21" si="12">G37</f>
        <v>2.86793133716266</v>
      </c>
      <c r="Z20">
        <f t="shared" ref="Z20:Z21" si="13">G12</f>
        <v>0.93792294418312372</v>
      </c>
      <c r="AA20">
        <f t="shared" ref="AA20:AA21" si="14">G26</f>
        <v>1.0252984566322352</v>
      </c>
      <c r="AB20">
        <f t="shared" ref="AB20:AB21" si="15">G40</f>
        <v>2.3034934886723275</v>
      </c>
    </row>
    <row r="21" spans="1:28" x14ac:dyDescent="0.3">
      <c r="B21" s="2"/>
      <c r="C21">
        <v>60</v>
      </c>
      <c r="D21" s="3">
        <v>9891891</v>
      </c>
      <c r="E21" s="3">
        <v>3250811</v>
      </c>
      <c r="F21">
        <f t="shared" si="2"/>
        <v>0.32863392853803181</v>
      </c>
      <c r="G21">
        <f t="shared" si="3"/>
        <v>5.28580891793262</v>
      </c>
      <c r="L21" s="3"/>
      <c r="P21">
        <v>60</v>
      </c>
      <c r="Q21" s="4">
        <f t="shared" si="4"/>
        <v>5.9706071159356888</v>
      </c>
      <c r="R21">
        <f t="shared" si="5"/>
        <v>4.8493299865911821</v>
      </c>
      <c r="S21">
        <f t="shared" si="6"/>
        <v>5.6974589150114641</v>
      </c>
      <c r="T21">
        <f t="shared" si="7"/>
        <v>6.274916390819306</v>
      </c>
      <c r="U21">
        <f t="shared" si="8"/>
        <v>5.28580891793262</v>
      </c>
      <c r="V21">
        <f t="shared" si="9"/>
        <v>6.117712072353469</v>
      </c>
      <c r="W21">
        <f t="shared" si="10"/>
        <v>5.9116065359793781</v>
      </c>
      <c r="X21">
        <f t="shared" si="11"/>
        <v>5.8403803843671138</v>
      </c>
      <c r="Y21">
        <f t="shared" si="12"/>
        <v>6.6837535285425433</v>
      </c>
      <c r="Z21">
        <f t="shared" si="13"/>
        <v>6.1872437754443368</v>
      </c>
      <c r="AA21">
        <f t="shared" si="14"/>
        <v>5.5254491455262853</v>
      </c>
      <c r="AB21">
        <f t="shared" si="15"/>
        <v>5.511529125348936</v>
      </c>
    </row>
    <row r="22" spans="1:28" x14ac:dyDescent="0.3">
      <c r="B22" s="1" t="s">
        <v>4</v>
      </c>
      <c r="C22">
        <v>0</v>
      </c>
      <c r="D22" s="3">
        <v>996213</v>
      </c>
      <c r="E22" s="3">
        <v>3539154</v>
      </c>
      <c r="F22">
        <f t="shared" si="2"/>
        <v>3.5526077254563031</v>
      </c>
      <c r="G22">
        <f t="shared" si="3"/>
        <v>0.53233416740645534</v>
      </c>
      <c r="L22" s="3"/>
      <c r="Q22" s="3"/>
    </row>
    <row r="23" spans="1:28" x14ac:dyDescent="0.3">
      <c r="B23" s="1"/>
      <c r="C23">
        <v>10</v>
      </c>
      <c r="D23" s="3">
        <v>3057062</v>
      </c>
      <c r="E23" s="3">
        <v>2792891</v>
      </c>
      <c r="F23">
        <f t="shared" si="2"/>
        <v>0.91358663972140575</v>
      </c>
      <c r="G23">
        <f t="shared" si="3"/>
        <v>1.6335648646222376</v>
      </c>
      <c r="L23" s="3"/>
      <c r="Q23" s="3"/>
    </row>
    <row r="24" spans="1:28" x14ac:dyDescent="0.3">
      <c r="B24" s="1"/>
      <c r="C24">
        <v>60</v>
      </c>
      <c r="D24" s="3">
        <v>10929719</v>
      </c>
      <c r="E24" s="3">
        <v>2441205</v>
      </c>
      <c r="F24">
        <f t="shared" si="2"/>
        <v>0.22335478158221633</v>
      </c>
      <c r="G24">
        <f t="shared" si="3"/>
        <v>5.8403803843671138</v>
      </c>
      <c r="L24" s="3"/>
      <c r="Q24" s="3"/>
    </row>
    <row r="25" spans="1:28" x14ac:dyDescent="0.3">
      <c r="B25" s="2" t="s">
        <v>5</v>
      </c>
      <c r="C25">
        <v>0</v>
      </c>
      <c r="D25" s="3">
        <v>911335</v>
      </c>
      <c r="E25" s="3">
        <v>3502255</v>
      </c>
      <c r="F25">
        <f t="shared" si="2"/>
        <v>3.8429940691403273</v>
      </c>
      <c r="G25">
        <f t="shared" si="3"/>
        <v>0.48697894772840949</v>
      </c>
      <c r="L25" s="3"/>
      <c r="Q25" s="3"/>
    </row>
    <row r="26" spans="1:28" x14ac:dyDescent="0.3">
      <c r="B26" s="2"/>
      <c r="C26">
        <v>10</v>
      </c>
      <c r="D26" s="3">
        <v>1918749</v>
      </c>
      <c r="E26" s="3">
        <v>3682962</v>
      </c>
      <c r="F26">
        <f t="shared" si="2"/>
        <v>1.9194600231713477</v>
      </c>
      <c r="G26">
        <f t="shared" si="3"/>
        <v>1.0252984566322352</v>
      </c>
      <c r="L26" s="3"/>
      <c r="Q26" s="3"/>
    </row>
    <row r="27" spans="1:28" x14ac:dyDescent="0.3">
      <c r="B27" s="2"/>
      <c r="C27">
        <v>60</v>
      </c>
      <c r="D27" s="3">
        <v>10340355</v>
      </c>
      <c r="E27" s="3">
        <v>5558397</v>
      </c>
      <c r="F27">
        <f t="shared" si="2"/>
        <v>0.53754411719907103</v>
      </c>
      <c r="G27">
        <f>D27/H$1</f>
        <v>5.5254491455262853</v>
      </c>
      <c r="L27" s="3"/>
      <c r="Q27" s="3"/>
    </row>
    <row r="28" spans="1:28" x14ac:dyDescent="0.3">
      <c r="L28" s="3"/>
      <c r="Q28" s="3"/>
    </row>
    <row r="29" spans="1:28" x14ac:dyDescent="0.3">
      <c r="A29" t="s">
        <v>12</v>
      </c>
      <c r="B29" t="s">
        <v>1</v>
      </c>
      <c r="C29" t="s">
        <v>0</v>
      </c>
      <c r="D29" t="s">
        <v>6</v>
      </c>
      <c r="E29" t="s">
        <v>7</v>
      </c>
      <c r="F29" t="s">
        <v>8</v>
      </c>
      <c r="G29" t="s">
        <v>9</v>
      </c>
      <c r="L29" s="3"/>
    </row>
    <row r="30" spans="1:28" x14ac:dyDescent="0.3">
      <c r="B30" s="1" t="s">
        <v>2</v>
      </c>
      <c r="C30">
        <v>0</v>
      </c>
      <c r="D30" s="3">
        <v>3282941</v>
      </c>
      <c r="E30" s="3">
        <v>9075255</v>
      </c>
      <c r="F30">
        <f>E30/D30</f>
        <v>2.7643673766905956</v>
      </c>
      <c r="G30">
        <f t="shared" ref="G30:G40" si="16">D30/H$1</f>
        <v>1.7542650656832584</v>
      </c>
      <c r="L30" s="3"/>
    </row>
    <row r="31" spans="1:28" x14ac:dyDescent="0.3">
      <c r="B31" s="1"/>
      <c r="C31">
        <v>10</v>
      </c>
      <c r="D31" s="3">
        <v>5856648</v>
      </c>
      <c r="E31" s="3">
        <v>5200426</v>
      </c>
      <c r="F31">
        <f t="shared" ref="F31:F41" si="17">E31/D31</f>
        <v>0.8879526309247201</v>
      </c>
      <c r="G31">
        <f t="shared" si="16"/>
        <v>3.1295454253986668</v>
      </c>
    </row>
    <row r="32" spans="1:28" x14ac:dyDescent="0.3">
      <c r="B32" s="1"/>
      <c r="C32">
        <v>60</v>
      </c>
      <c r="D32" s="3">
        <v>10662255</v>
      </c>
      <c r="E32" s="3">
        <v>7736134</v>
      </c>
      <c r="F32">
        <f t="shared" si="17"/>
        <v>0.72556265067755366</v>
      </c>
      <c r="G32">
        <f t="shared" si="16"/>
        <v>5.6974589150114641</v>
      </c>
    </row>
    <row r="33" spans="2:7" x14ac:dyDescent="0.3">
      <c r="B33" s="2" t="s">
        <v>3</v>
      </c>
      <c r="C33">
        <v>0</v>
      </c>
      <c r="D33" s="3">
        <v>3026941</v>
      </c>
      <c r="E33" s="3">
        <v>3629477</v>
      </c>
      <c r="F33">
        <f t="shared" si="17"/>
        <v>1.1990577285781256</v>
      </c>
      <c r="G33">
        <f t="shared" si="16"/>
        <v>1.617469473921203</v>
      </c>
    </row>
    <row r="34" spans="2:7" x14ac:dyDescent="0.3">
      <c r="B34" s="2"/>
      <c r="C34">
        <v>10</v>
      </c>
      <c r="D34" s="3">
        <v>5787841</v>
      </c>
      <c r="E34" s="3">
        <v>5094305</v>
      </c>
      <c r="F34">
        <f t="shared" si="17"/>
        <v>0.88017362605503502</v>
      </c>
      <c r="G34">
        <f t="shared" si="16"/>
        <v>3.092777869608152</v>
      </c>
    </row>
    <row r="35" spans="2:7" x14ac:dyDescent="0.3">
      <c r="B35" s="2"/>
      <c r="C35">
        <v>60</v>
      </c>
      <c r="D35" s="3">
        <v>11448719</v>
      </c>
      <c r="E35" s="3">
        <v>9513255</v>
      </c>
      <c r="F35">
        <f t="shared" si="17"/>
        <v>0.8309449292973301</v>
      </c>
      <c r="G35">
        <f t="shared" si="16"/>
        <v>6.117712072353469</v>
      </c>
    </row>
    <row r="36" spans="2:7" x14ac:dyDescent="0.3">
      <c r="B36" s="1" t="s">
        <v>4</v>
      </c>
      <c r="C36">
        <v>0</v>
      </c>
      <c r="D36" s="3">
        <v>3402941</v>
      </c>
      <c r="E36" s="3">
        <v>3419598</v>
      </c>
      <c r="F36">
        <f t="shared" si="17"/>
        <v>1.0048948835727685</v>
      </c>
      <c r="G36">
        <f t="shared" si="16"/>
        <v>1.818387999321722</v>
      </c>
    </row>
    <row r="37" spans="2:7" x14ac:dyDescent="0.3">
      <c r="B37" s="1"/>
      <c r="C37">
        <v>10</v>
      </c>
      <c r="D37" s="3">
        <v>5367062</v>
      </c>
      <c r="E37" s="3">
        <v>3676719</v>
      </c>
      <c r="F37">
        <f t="shared" si="17"/>
        <v>0.68505245514212432</v>
      </c>
      <c r="G37">
        <f t="shared" si="16"/>
        <v>2.86793133716266</v>
      </c>
    </row>
    <row r="38" spans="2:7" x14ac:dyDescent="0.3">
      <c r="B38" s="1"/>
      <c r="C38">
        <v>60</v>
      </c>
      <c r="D38" s="3">
        <v>12508012</v>
      </c>
      <c r="E38" s="3">
        <v>2898276</v>
      </c>
      <c r="F38">
        <f t="shared" si="17"/>
        <v>0.23171356087602091</v>
      </c>
      <c r="G38">
        <f t="shared" si="16"/>
        <v>6.6837535285425433</v>
      </c>
    </row>
    <row r="39" spans="2:7" x14ac:dyDescent="0.3">
      <c r="B39" s="2" t="s">
        <v>5</v>
      </c>
      <c r="C39">
        <v>0</v>
      </c>
      <c r="D39" s="3">
        <v>2786406</v>
      </c>
      <c r="E39" s="3">
        <v>5000962</v>
      </c>
      <c r="F39">
        <f t="shared" si="17"/>
        <v>1.7947714726425366</v>
      </c>
      <c r="G39">
        <f t="shared" si="16"/>
        <v>1.4889377252318046</v>
      </c>
    </row>
    <row r="40" spans="2:7" x14ac:dyDescent="0.3">
      <c r="B40" s="2"/>
      <c r="C40">
        <v>10</v>
      </c>
      <c r="D40" s="3">
        <v>4310770</v>
      </c>
      <c r="E40" s="3">
        <v>5753134</v>
      </c>
      <c r="F40">
        <f t="shared" si="17"/>
        <v>1.3345954435054526</v>
      </c>
      <c r="G40">
        <f t="shared" si="16"/>
        <v>2.3034934886723275</v>
      </c>
    </row>
    <row r="41" spans="2:7" x14ac:dyDescent="0.3">
      <c r="B41" s="2"/>
      <c r="C41">
        <v>60</v>
      </c>
      <c r="D41" s="3">
        <v>10314305</v>
      </c>
      <c r="E41" s="3">
        <v>2871347</v>
      </c>
      <c r="F41">
        <f t="shared" si="17"/>
        <v>0.27838492268747145</v>
      </c>
      <c r="G41">
        <f>D41/H$1</f>
        <v>5.511529125348936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Tab1</vt:lpstr>
    </vt:vector>
  </TitlesOfParts>
  <Company>Universitaet Bielefeld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Meinerz, Sven</dc:creator>
  <cp:lastModifiedBy>Sven Meinerz</cp:lastModifiedBy>
  <dcterms:created xsi:type="dcterms:W3CDTF">2022-11-28T14:52:52Z</dcterms:created>
  <dcterms:modified xsi:type="dcterms:W3CDTF">2023-10-21T15:47:53Z</dcterms:modified>
</cp:coreProperties>
</file>